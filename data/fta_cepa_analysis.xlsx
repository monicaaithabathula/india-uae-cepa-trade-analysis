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Monica\Project\Self Projects - AI Assissted\Project 2 FTA Impact Tracker\fta_uae_process\"/>
    </mc:Choice>
  </mc:AlternateContent>
  <xr:revisionPtr revIDLastSave="0" documentId="13_ncr:1_{F1C61DE6-68A2-4F17-A3BF-7DD86FDB0BED}" xr6:coauthVersionLast="47" xr6:coauthVersionMax="47" xr10:uidLastSave="{00000000-0000-0000-0000-000000000000}"/>
  <bookViews>
    <workbookView xWindow="-110" yWindow="-110" windowWidth="19420" windowHeight="10300" xr2:uid="{94245CB3-8F7A-4215-B48D-707E12FE5107}"/>
  </bookViews>
  <sheets>
    <sheet name="CEPA_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9" i="1"/>
  <c r="E6" i="1"/>
  <c r="E2" i="1"/>
  <c r="E13" i="1"/>
  <c r="E12" i="1"/>
  <c r="E10" i="1"/>
  <c r="E11" i="1"/>
  <c r="E3" i="1"/>
  <c r="E7" i="1"/>
  <c r="E8" i="1"/>
</calcChain>
</file>

<file path=xl/sharedStrings.xml><?xml version="1.0" encoding="utf-8"?>
<sst xmlns="http://schemas.openxmlformats.org/spreadsheetml/2006/main" count="29" uniqueCount="13">
  <si>
    <t>Sector</t>
  </si>
  <si>
    <t>Trade_Type</t>
  </si>
  <si>
    <t>Avg_Before_CEPA</t>
  </si>
  <si>
    <t>Avg_After_CEPA</t>
  </si>
  <si>
    <t>Clothes &amp; Knitted</t>
  </si>
  <si>
    <t>Export</t>
  </si>
  <si>
    <t>Import</t>
  </si>
  <si>
    <t>Clothes &amp; Non-Knitted</t>
  </si>
  <si>
    <t>Electric</t>
  </si>
  <si>
    <t>Jewellry</t>
  </si>
  <si>
    <t>Machinery</t>
  </si>
  <si>
    <t>Petroleum Products</t>
  </si>
  <si>
    <t>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</si>
</sst>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927D-E5A2-47B5-81A1-E34F9941D1C0}">
  <dimension ref="A1:E13"/>
  <sheetViews>
    <sheetView tabSelected="1" workbookViewId="0">
      <selection activeCell="H9" sqref="H9"/>
    </sheetView>
  </sheetViews>
  <sheetFormatPr defaultRowHeight="14.5" x14ac:dyDescent="0.35"/>
  <cols>
    <col min="1" max="1" width="19.453125" bestFit="1" customWidth="1"/>
    <col min="2" max="2" width="10.6328125" bestFit="1" customWidth="1"/>
    <col min="3" max="3" width="15.81640625" bestFit="1" customWidth="1"/>
    <col min="4" max="4" width="14.54296875" bestFit="1" customWidth="1"/>
    <col min="5" max="5" width="10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35">
      <c r="A2" t="s">
        <v>10</v>
      </c>
      <c r="B2" t="s">
        <v>5</v>
      </c>
      <c r="C2">
        <v>899.24</v>
      </c>
      <c r="D2">
        <v>1836.2</v>
      </c>
      <c r="E2" s="2">
        <f>((D2-C2)/C2)*100</f>
        <v>104.19465326275521</v>
      </c>
    </row>
    <row r="3" spans="1:5" x14ac:dyDescent="0.35">
      <c r="A3" t="s">
        <v>7</v>
      </c>
      <c r="B3" t="s">
        <v>6</v>
      </c>
      <c r="C3">
        <v>7.74</v>
      </c>
      <c r="D3">
        <v>15.33</v>
      </c>
      <c r="E3" s="2">
        <f>((D3-C3)/C3)*100</f>
        <v>98.062015503875969</v>
      </c>
    </row>
    <row r="4" spans="1:5" x14ac:dyDescent="0.35">
      <c r="A4" t="s">
        <v>9</v>
      </c>
      <c r="B4" t="s">
        <v>6</v>
      </c>
      <c r="C4">
        <v>11047.08</v>
      </c>
      <c r="D4">
        <v>20660.32</v>
      </c>
      <c r="E4" s="2">
        <f>((D4-C4)/C4)*100</f>
        <v>87.020642558938661</v>
      </c>
    </row>
    <row r="5" spans="1:5" x14ac:dyDescent="0.35">
      <c r="A5" t="s">
        <v>9</v>
      </c>
      <c r="B5" t="s">
        <v>5</v>
      </c>
      <c r="C5">
        <v>4499.76</v>
      </c>
      <c r="D5">
        <v>8163.19</v>
      </c>
      <c r="E5" s="2">
        <f>((D5-C5)/C5)*100</f>
        <v>81.413897630095818</v>
      </c>
    </row>
    <row r="6" spans="1:5" x14ac:dyDescent="0.35">
      <c r="A6" t="s">
        <v>8</v>
      </c>
      <c r="B6" t="s">
        <v>5</v>
      </c>
      <c r="C6">
        <v>2655.72</v>
      </c>
      <c r="D6">
        <v>4258.93</v>
      </c>
      <c r="E6" s="2">
        <f>((D6-C6)/C6)*100</f>
        <v>60.368186405193349</v>
      </c>
    </row>
    <row r="7" spans="1:5" x14ac:dyDescent="0.35">
      <c r="A7" t="s">
        <v>4</v>
      </c>
      <c r="B7" t="s">
        <v>6</v>
      </c>
      <c r="C7">
        <v>3.2</v>
      </c>
      <c r="D7">
        <v>4.66</v>
      </c>
      <c r="E7" s="2">
        <f>((D7-C7)/C7)*100</f>
        <v>45.625</v>
      </c>
    </row>
    <row r="8" spans="1:5" x14ac:dyDescent="0.35">
      <c r="A8" t="s">
        <v>11</v>
      </c>
      <c r="B8" t="s">
        <v>6</v>
      </c>
      <c r="C8">
        <v>16113.2</v>
      </c>
      <c r="D8">
        <v>23357.84</v>
      </c>
      <c r="E8" s="2">
        <f>((D8-C8)/C8)*100</f>
        <v>44.960901621031198</v>
      </c>
    </row>
    <row r="9" spans="1:5" x14ac:dyDescent="0.35">
      <c r="A9" t="s">
        <v>11</v>
      </c>
      <c r="B9" t="s">
        <v>5</v>
      </c>
      <c r="C9">
        <v>5896.1</v>
      </c>
      <c r="D9">
        <v>7227.62</v>
      </c>
      <c r="E9" s="2">
        <f>((D9-C9)/C9)*100</f>
        <v>22.583063380878876</v>
      </c>
    </row>
    <row r="10" spans="1:5" x14ac:dyDescent="0.35">
      <c r="A10" t="s">
        <v>10</v>
      </c>
      <c r="B10" t="s">
        <v>6</v>
      </c>
      <c r="C10">
        <v>332.83</v>
      </c>
      <c r="D10">
        <v>389.89</v>
      </c>
      <c r="E10" s="2">
        <f>((D10-C10)/C10)*100</f>
        <v>17.143887269777366</v>
      </c>
    </row>
    <row r="11" spans="1:5" x14ac:dyDescent="0.35">
      <c r="A11" t="s">
        <v>8</v>
      </c>
      <c r="B11" t="s">
        <v>6</v>
      </c>
      <c r="C11">
        <v>379.96</v>
      </c>
      <c r="D11">
        <v>359.19</v>
      </c>
      <c r="E11" s="2">
        <f>((D11-C11)/C11)*100</f>
        <v>-5.4663648805137344</v>
      </c>
    </row>
    <row r="12" spans="1:5" x14ac:dyDescent="0.35">
      <c r="A12" t="s">
        <v>7</v>
      </c>
      <c r="B12" t="s">
        <v>5</v>
      </c>
      <c r="C12">
        <v>713.22</v>
      </c>
      <c r="D12">
        <v>574.16</v>
      </c>
      <c r="E12" s="2">
        <f>((D12-C12)/C12)*100</f>
        <v>-19.497490255461155</v>
      </c>
    </row>
    <row r="13" spans="1:5" x14ac:dyDescent="0.35">
      <c r="A13" t="s">
        <v>4</v>
      </c>
      <c r="B13" t="s">
        <v>5</v>
      </c>
      <c r="C13">
        <v>841.09</v>
      </c>
      <c r="D13">
        <v>652.29999999999995</v>
      </c>
      <c r="E13" s="2">
        <f>((D13-C13)/C13)*100</f>
        <v>-22.445873806608098</v>
      </c>
    </row>
  </sheetData>
  <sortState xmlns:xlrd2="http://schemas.microsoft.com/office/spreadsheetml/2017/richdata2" ref="A2:E13">
    <sortCondition descending="1" ref="E2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Aithabathula</dc:creator>
  <cp:lastModifiedBy>Monica Aithabathula</cp:lastModifiedBy>
  <dcterms:created xsi:type="dcterms:W3CDTF">2026-08-12T06:38:15Z</dcterms:created>
  <dcterms:modified xsi:type="dcterms:W3CDTF">2026-08-12T07:18:05Z</dcterms:modified>
</cp:coreProperties>
</file>